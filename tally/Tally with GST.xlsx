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vanika\tally\"/>
    </mc:Choice>
  </mc:AlternateContent>
  <xr:revisionPtr revIDLastSave="0" documentId="13_ncr:1_{2DDCB293-7B9D-4D24-BD8D-663B576F853D}" xr6:coauthVersionLast="47" xr6:coauthVersionMax="47" xr10:uidLastSave="{00000000-0000-0000-0000-000000000000}"/>
  <bookViews>
    <workbookView xWindow="-120" yWindow="-120" windowWidth="1560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3" l="1"/>
  <c r="C21" i="3"/>
  <c r="C22" i="3"/>
  <c r="C23" i="3"/>
  <c r="C19" i="3"/>
</calcChain>
</file>

<file path=xl/sharedStrings.xml><?xml version="1.0" encoding="utf-8"?>
<sst xmlns="http://schemas.openxmlformats.org/spreadsheetml/2006/main" count="169" uniqueCount="124">
  <si>
    <t>MI Mobile</t>
  </si>
  <si>
    <t>Abc Electronics</t>
  </si>
  <si>
    <t>Samsung Mobile</t>
  </si>
  <si>
    <t>creditors</t>
  </si>
  <si>
    <t>purchase</t>
  </si>
  <si>
    <t>Param Sales</t>
  </si>
  <si>
    <t>Gujarat</t>
  </si>
  <si>
    <t>30 MI</t>
  </si>
  <si>
    <t>rs 11000</t>
  </si>
  <si>
    <t>Sai Ram Sales</t>
  </si>
  <si>
    <t>Maharastra</t>
  </si>
  <si>
    <t>25 samsung</t>
  </si>
  <si>
    <t>rs 15000</t>
  </si>
  <si>
    <t>10 mi</t>
  </si>
  <si>
    <t>rs 10500</t>
  </si>
  <si>
    <t>Sale</t>
  </si>
  <si>
    <t>2 mi</t>
  </si>
  <si>
    <t>5 samsung</t>
  </si>
  <si>
    <t>Bharat Sales</t>
  </si>
  <si>
    <t>5 mi</t>
  </si>
  <si>
    <t>5 samsun</t>
  </si>
  <si>
    <t>Bhopal Agencies</t>
  </si>
  <si>
    <t>Bhopal</t>
  </si>
  <si>
    <t>MP</t>
  </si>
  <si>
    <t>Oppo</t>
  </si>
  <si>
    <t>20 Oppo</t>
  </si>
  <si>
    <t>2 oppo</t>
  </si>
  <si>
    <t>5 oppo</t>
  </si>
  <si>
    <t>product1</t>
  </si>
  <si>
    <t>product2</t>
  </si>
  <si>
    <t>GST</t>
  </si>
  <si>
    <t>IGST</t>
  </si>
  <si>
    <t>SGST</t>
  </si>
  <si>
    <t>CGST</t>
  </si>
  <si>
    <t>TDS ON RENT</t>
  </si>
  <si>
    <t>TDS ON CONTRACT</t>
  </si>
  <si>
    <t>TDS</t>
  </si>
  <si>
    <t>mobile</t>
  </si>
  <si>
    <t>REDMI NOTE 9</t>
  </si>
  <si>
    <t>REDMI NOTE 9 PRO</t>
  </si>
  <si>
    <t>REDMI NOTE 10I</t>
  </si>
  <si>
    <t>REDMI NOTE 9A</t>
  </si>
  <si>
    <t>REDMI NOTE 9I</t>
  </si>
  <si>
    <t>SAMSUNG GALAXY F62</t>
  </si>
  <si>
    <t>SAMSUNG GALAXY M31</t>
  </si>
  <si>
    <t>SAMSUNG GALAXY M21</t>
  </si>
  <si>
    <t>SAMSUNG GALAXY M01</t>
  </si>
  <si>
    <t>SAMSUNG GALAXY A31</t>
  </si>
  <si>
    <t>REALME 5</t>
  </si>
  <si>
    <t>REALME 5 PRO</t>
  </si>
  <si>
    <t>REALME 6</t>
  </si>
  <si>
    <t>REALME PRO</t>
  </si>
  <si>
    <t>REALME 9</t>
  </si>
  <si>
    <t>REALME 9 PRO</t>
  </si>
  <si>
    <t>WASHING MACHINE</t>
  </si>
  <si>
    <t>SAMSUNG 6.5 KG FULLY AUTOMATIC FRONT LOAD</t>
  </si>
  <si>
    <t>SAMSUNG 5.5 KG FULLY AUTOMATIC FRONT LOAD</t>
  </si>
  <si>
    <t>SAMSUNG 7.5 KG FULLY AUTOMATIC FRONT LOAD</t>
  </si>
  <si>
    <t>SAMSUNG 7.5 KG FULLY SEMI AUTOMATIC FRONT LOAD</t>
  </si>
  <si>
    <t>SAMSUNG 6.5 KG FULLY SEMI AUTOMATIC FRONT LOAD</t>
  </si>
  <si>
    <t>SAMSUNG 5.5 KG FULLY SEMI AUTOMATIC FRONT LOAD</t>
  </si>
  <si>
    <t>SAMSUNG 6.5 KG FULLY AUTOMATIC TOP LOAD</t>
  </si>
  <si>
    <t>SAMSUNG 5.5 KG FULLY AUTOMATIC TOP LOAD</t>
  </si>
  <si>
    <t>SAMSUNG 7.5 KG FULLY AUTOMATIC TOP LOAD</t>
  </si>
  <si>
    <t>SAMSUNG 7.5 KG FULLY SEMI AUTOMATIC TOP LOAD</t>
  </si>
  <si>
    <t>SAMSUNG 6.5 KG FULLY SEMI AUTOMATIC TOP LOAD</t>
  </si>
  <si>
    <t>SAMSUNG 5.5 KG FULLY SEMI AUTOMATIC TOP LOAD</t>
  </si>
  <si>
    <t>GST 18%</t>
  </si>
  <si>
    <t>HSN</t>
  </si>
  <si>
    <t>TV</t>
  </si>
  <si>
    <t>LG 80 CM</t>
  </si>
  <si>
    <t>MI TV 4X</t>
  </si>
  <si>
    <t>SAMSUNG 43CM</t>
  </si>
  <si>
    <t>MI 4A PRO 80CM</t>
  </si>
  <si>
    <t>ONE PLUS Y 108CM</t>
  </si>
  <si>
    <t>UNIT</t>
  </si>
  <si>
    <t>NUMBER</t>
  </si>
  <si>
    <t>statutory master</t>
  </si>
  <si>
    <t>GST 18% FOR MOBILE</t>
  </si>
  <si>
    <t>GST 18% FOR WASHING MACHINE</t>
  </si>
  <si>
    <t>GST 18% FOR TV</t>
  </si>
  <si>
    <t>INVENTORY MASTER</t>
  </si>
  <si>
    <t>GROUPS</t>
  </si>
  <si>
    <t>TDS ON PROFESSION</t>
  </si>
  <si>
    <t>mobile, washing machine, tv</t>
  </si>
  <si>
    <t>category / stock group</t>
  </si>
  <si>
    <t>194I</t>
  </si>
  <si>
    <t>194J</t>
  </si>
  <si>
    <t>194c</t>
  </si>
  <si>
    <t>Ledger</t>
  </si>
  <si>
    <t>TDS nature of payments</t>
  </si>
  <si>
    <t>Duties and Taxes</t>
  </si>
  <si>
    <t>expenses</t>
  </si>
  <si>
    <t>training fees</t>
  </si>
  <si>
    <t>rent paid</t>
  </si>
  <si>
    <t>repairing of furniture</t>
  </si>
  <si>
    <t>electricity bill</t>
  </si>
  <si>
    <t>Ram</t>
  </si>
  <si>
    <t>Shyam</t>
  </si>
  <si>
    <t>Laxaman</t>
  </si>
  <si>
    <t>Arjun</t>
  </si>
  <si>
    <t>Bheem</t>
  </si>
  <si>
    <t>Nakul</t>
  </si>
  <si>
    <t>Bharat</t>
  </si>
  <si>
    <t>hotel expens</t>
  </si>
  <si>
    <t>Debtors</t>
  </si>
  <si>
    <t>gujarat</t>
  </si>
  <si>
    <t>regular</t>
  </si>
  <si>
    <t>rajashtan</t>
  </si>
  <si>
    <t>sita</t>
  </si>
  <si>
    <t>unregisterd</t>
  </si>
  <si>
    <t>individual resident</t>
  </si>
  <si>
    <t>Particulars</t>
  </si>
  <si>
    <t>Voucher Type</t>
  </si>
  <si>
    <t>Supplier Invoice No.</t>
  </si>
  <si>
    <t>Quantity</t>
  </si>
  <si>
    <t>Rate</t>
  </si>
  <si>
    <t>Value</t>
  </si>
  <si>
    <t>Purchase</t>
  </si>
  <si>
    <t/>
  </si>
  <si>
    <t>Grand Total</t>
  </si>
  <si>
    <t>gst</t>
  </si>
  <si>
    <t>i/p gst</t>
  </si>
  <si>
    <t>o/p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</si>
</sst>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&quot;0.00&quot; CTN&quot;"/>
    <numFmt numFmtId="165" formatCode="&quot;&quot;0"/>
    <numFmt numFmtId="166" formatCode="&quot;&quot;0.00"/>
    <numFmt numFmtId="167" formatCode="&quot;&quot;0.00&quot;/CTN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0" xfId="0" applyNumberFormat="1"/>
    <xf numFmtId="0" fontId="1" fillId="0" borderId="0" xfId="0" applyFont="1"/>
    <xf numFmtId="49" fontId="2" fillId="0" borderId="1" xfId="0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vertical="top"/>
    </xf>
    <xf numFmtId="164" fontId="4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2" fillId="0" borderId="3" xfId="0" applyNumberFormat="1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0" fontId="3" fillId="0" borderId="3" xfId="0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1D0034-5BDE-4A91-8166-6FE24EF3E9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I9" sqref="I9"/>
    </sheetView>
  </sheetViews>
  <sheetFormatPr defaultRowHeight="15" x14ac:dyDescent="0.25"/>
  <cols>
    <col min="1" max="1" width="15.7109375" bestFit="1" customWidth="1"/>
    <col min="4" max="4" width="15.7109375" bestFit="1" customWidth="1"/>
    <col min="7" max="7" width="17.7109375" bestFit="1" customWidth="1"/>
  </cols>
  <sheetData>
    <row r="1" spans="1:9" x14ac:dyDescent="0.25">
      <c r="A1" t="s">
        <v>1</v>
      </c>
    </row>
    <row r="2" spans="1:9" x14ac:dyDescent="0.25">
      <c r="H2" t="s">
        <v>28</v>
      </c>
      <c r="I2" s="1">
        <v>0.12</v>
      </c>
    </row>
    <row r="3" spans="1:9" x14ac:dyDescent="0.25">
      <c r="A3" t="s">
        <v>24</v>
      </c>
      <c r="B3" s="1">
        <v>0.18</v>
      </c>
      <c r="H3" t="s">
        <v>29</v>
      </c>
      <c r="I3" s="1">
        <v>0.05</v>
      </c>
    </row>
    <row r="4" spans="1:9" x14ac:dyDescent="0.25">
      <c r="A4" t="s">
        <v>0</v>
      </c>
      <c r="B4" s="1">
        <v>0.18</v>
      </c>
    </row>
    <row r="5" spans="1:9" x14ac:dyDescent="0.25">
      <c r="A5" t="s">
        <v>2</v>
      </c>
      <c r="B5" s="1">
        <v>0.18</v>
      </c>
    </row>
    <row r="7" spans="1:9" x14ac:dyDescent="0.25">
      <c r="A7" t="s">
        <v>3</v>
      </c>
      <c r="G7" t="s">
        <v>121</v>
      </c>
    </row>
    <row r="8" spans="1:9" x14ac:dyDescent="0.25">
      <c r="A8" t="s">
        <v>4</v>
      </c>
      <c r="B8" t="s">
        <v>25</v>
      </c>
      <c r="C8">
        <v>13000</v>
      </c>
      <c r="D8" t="s">
        <v>5</v>
      </c>
      <c r="E8" t="s">
        <v>6</v>
      </c>
      <c r="H8" t="s">
        <v>122</v>
      </c>
    </row>
    <row r="9" spans="1:9" x14ac:dyDescent="0.25">
      <c r="A9" t="s">
        <v>4</v>
      </c>
      <c r="B9" t="s">
        <v>7</v>
      </c>
      <c r="C9" t="s">
        <v>8</v>
      </c>
      <c r="D9" t="s">
        <v>9</v>
      </c>
      <c r="E9" t="s">
        <v>10</v>
      </c>
      <c r="H9" t="s">
        <v>123</v>
      </c>
    </row>
    <row r="10" spans="1:9" x14ac:dyDescent="0.25">
      <c r="A10" s="26" t="s">
        <v>4</v>
      </c>
      <c r="B10" t="s">
        <v>11</v>
      </c>
      <c r="C10" t="s">
        <v>12</v>
      </c>
      <c r="D10" t="s">
        <v>5</v>
      </c>
      <c r="E10" t="s">
        <v>6</v>
      </c>
    </row>
    <row r="11" spans="1:9" x14ac:dyDescent="0.25">
      <c r="A11" s="26"/>
      <c r="B11" t="s">
        <v>13</v>
      </c>
      <c r="C11" t="s">
        <v>14</v>
      </c>
      <c r="D11" t="s">
        <v>5</v>
      </c>
      <c r="E11" t="s">
        <v>6</v>
      </c>
    </row>
    <row r="13" spans="1:9" x14ac:dyDescent="0.25">
      <c r="A13" t="s">
        <v>15</v>
      </c>
      <c r="B13" t="s">
        <v>26</v>
      </c>
      <c r="C13">
        <v>16000</v>
      </c>
      <c r="D13" t="s">
        <v>18</v>
      </c>
      <c r="E13" t="s">
        <v>6</v>
      </c>
    </row>
    <row r="14" spans="1:9" x14ac:dyDescent="0.25">
      <c r="B14" t="s">
        <v>16</v>
      </c>
      <c r="C14">
        <v>13000</v>
      </c>
    </row>
    <row r="15" spans="1:9" x14ac:dyDescent="0.25">
      <c r="B15" t="s">
        <v>17</v>
      </c>
      <c r="C15">
        <v>17000</v>
      </c>
    </row>
    <row r="17" spans="1:6" x14ac:dyDescent="0.25">
      <c r="A17" t="s">
        <v>15</v>
      </c>
      <c r="B17" t="s">
        <v>27</v>
      </c>
      <c r="C17">
        <v>16000</v>
      </c>
      <c r="D17" t="s">
        <v>21</v>
      </c>
      <c r="E17" t="s">
        <v>22</v>
      </c>
      <c r="F17" t="s">
        <v>23</v>
      </c>
    </row>
    <row r="18" spans="1:6" x14ac:dyDescent="0.25">
      <c r="B18" t="s">
        <v>19</v>
      </c>
      <c r="C18">
        <v>13000</v>
      </c>
    </row>
    <row r="19" spans="1:6" x14ac:dyDescent="0.25">
      <c r="B19" t="s">
        <v>20</v>
      </c>
      <c r="C19">
        <v>17000</v>
      </c>
    </row>
  </sheetData>
  <mergeCells count="1"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"/>
  <sheetViews>
    <sheetView tabSelected="1" workbookViewId="0">
      <selection activeCell="C7" sqref="C7"/>
    </sheetView>
  </sheetViews>
  <sheetFormatPr defaultRowHeight="15" x14ac:dyDescent="0.25"/>
  <cols>
    <col min="1" max="1" width="22.42578125" bestFit="1" customWidth="1"/>
    <col min="2" max="2" width="50.140625" bestFit="1" customWidth="1"/>
    <col min="3" max="3" width="20" bestFit="1" customWidth="1"/>
    <col min="4" max="4" width="18" bestFit="1" customWidth="1"/>
    <col min="5" max="5" width="11.28515625" bestFit="1" customWidth="1"/>
  </cols>
  <sheetData>
    <row r="1" spans="1:5" x14ac:dyDescent="0.25">
      <c r="A1" s="2" t="s">
        <v>77</v>
      </c>
      <c r="B1" s="2"/>
    </row>
    <row r="2" spans="1:5" x14ac:dyDescent="0.25">
      <c r="A2" s="2"/>
      <c r="B2" s="2" t="s">
        <v>78</v>
      </c>
      <c r="E2">
        <v>85171290</v>
      </c>
    </row>
    <row r="3" spans="1:5" x14ac:dyDescent="0.25">
      <c r="A3" s="2"/>
      <c r="B3" s="2" t="s">
        <v>79</v>
      </c>
      <c r="E3">
        <v>845019</v>
      </c>
    </row>
    <row r="4" spans="1:5" x14ac:dyDescent="0.25">
      <c r="A4" s="2"/>
      <c r="B4" s="2" t="s">
        <v>80</v>
      </c>
      <c r="E4">
        <v>852872</v>
      </c>
    </row>
    <row r="5" spans="1:5" x14ac:dyDescent="0.25">
      <c r="A5" s="2"/>
      <c r="B5" s="2"/>
    </row>
    <row r="6" spans="1:5" x14ac:dyDescent="0.25">
      <c r="A6" s="2" t="s">
        <v>81</v>
      </c>
      <c r="B6" s="2"/>
    </row>
    <row r="7" spans="1:5" x14ac:dyDescent="0.25">
      <c r="A7" s="2" t="s">
        <v>75</v>
      </c>
      <c r="B7" s="2" t="s">
        <v>76</v>
      </c>
    </row>
    <row r="8" spans="1:5" x14ac:dyDescent="0.25">
      <c r="A8" s="2"/>
      <c r="B8" s="2"/>
    </row>
    <row r="9" spans="1:5" x14ac:dyDescent="0.25">
      <c r="A9" s="2" t="s">
        <v>85</v>
      </c>
      <c r="B9" s="2" t="s">
        <v>84</v>
      </c>
    </row>
    <row r="11" spans="1:5" x14ac:dyDescent="0.25">
      <c r="A11" t="s">
        <v>37</v>
      </c>
      <c r="C11" t="s">
        <v>67</v>
      </c>
      <c r="D11" t="s">
        <v>68</v>
      </c>
      <c r="E11">
        <v>85171290</v>
      </c>
    </row>
    <row r="12" spans="1:5" x14ac:dyDescent="0.25">
      <c r="B12" t="s">
        <v>38</v>
      </c>
    </row>
    <row r="13" spans="1:5" x14ac:dyDescent="0.25">
      <c r="B13" t="s">
        <v>39</v>
      </c>
    </row>
    <row r="14" spans="1:5" x14ac:dyDescent="0.25">
      <c r="B14" t="s">
        <v>40</v>
      </c>
    </row>
    <row r="15" spans="1:5" x14ac:dyDescent="0.25">
      <c r="B15" t="s">
        <v>41</v>
      </c>
    </row>
    <row r="16" spans="1:5" x14ac:dyDescent="0.25">
      <c r="B16" t="s">
        <v>42</v>
      </c>
    </row>
    <row r="17" spans="1:5" x14ac:dyDescent="0.25">
      <c r="B17" t="s">
        <v>43</v>
      </c>
    </row>
    <row r="18" spans="1:5" x14ac:dyDescent="0.25">
      <c r="B18" t="s">
        <v>44</v>
      </c>
    </row>
    <row r="19" spans="1:5" x14ac:dyDescent="0.25">
      <c r="B19" t="s">
        <v>45</v>
      </c>
    </row>
    <row r="20" spans="1:5" x14ac:dyDescent="0.25">
      <c r="B20" t="s">
        <v>46</v>
      </c>
    </row>
    <row r="21" spans="1:5" x14ac:dyDescent="0.25">
      <c r="B21" t="s">
        <v>47</v>
      </c>
    </row>
    <row r="22" spans="1:5" x14ac:dyDescent="0.25">
      <c r="B22" t="s">
        <v>48</v>
      </c>
    </row>
    <row r="23" spans="1:5" x14ac:dyDescent="0.25">
      <c r="B23" t="s">
        <v>49</v>
      </c>
    </row>
    <row r="24" spans="1:5" x14ac:dyDescent="0.25">
      <c r="B24" t="s">
        <v>50</v>
      </c>
    </row>
    <row r="25" spans="1:5" x14ac:dyDescent="0.25">
      <c r="B25" t="s">
        <v>51</v>
      </c>
    </row>
    <row r="26" spans="1:5" x14ac:dyDescent="0.25">
      <c r="B26" t="s">
        <v>52</v>
      </c>
    </row>
    <row r="27" spans="1:5" x14ac:dyDescent="0.25">
      <c r="B27" t="s">
        <v>53</v>
      </c>
    </row>
    <row r="29" spans="1:5" x14ac:dyDescent="0.25">
      <c r="A29" t="s">
        <v>54</v>
      </c>
      <c r="C29" t="s">
        <v>67</v>
      </c>
      <c r="D29" t="s">
        <v>68</v>
      </c>
      <c r="E29">
        <v>845019</v>
      </c>
    </row>
    <row r="30" spans="1:5" x14ac:dyDescent="0.25">
      <c r="B30" t="s">
        <v>55</v>
      </c>
    </row>
    <row r="31" spans="1:5" x14ac:dyDescent="0.25">
      <c r="B31" t="s">
        <v>56</v>
      </c>
    </row>
    <row r="32" spans="1:5" x14ac:dyDescent="0.25">
      <c r="B32" t="s">
        <v>57</v>
      </c>
    </row>
    <row r="33" spans="1:5" x14ac:dyDescent="0.25">
      <c r="B33" t="s">
        <v>58</v>
      </c>
    </row>
    <row r="34" spans="1:5" x14ac:dyDescent="0.25">
      <c r="B34" t="s">
        <v>59</v>
      </c>
    </row>
    <row r="35" spans="1:5" x14ac:dyDescent="0.25">
      <c r="B35" t="s">
        <v>60</v>
      </c>
    </row>
    <row r="36" spans="1:5" x14ac:dyDescent="0.25">
      <c r="B36" t="s">
        <v>61</v>
      </c>
    </row>
    <row r="37" spans="1:5" x14ac:dyDescent="0.25">
      <c r="B37" t="s">
        <v>62</v>
      </c>
    </row>
    <row r="38" spans="1:5" x14ac:dyDescent="0.25">
      <c r="B38" t="s">
        <v>63</v>
      </c>
    </row>
    <row r="39" spans="1:5" x14ac:dyDescent="0.25">
      <c r="B39" t="s">
        <v>64</v>
      </c>
    </row>
    <row r="40" spans="1:5" x14ac:dyDescent="0.25">
      <c r="B40" t="s">
        <v>65</v>
      </c>
    </row>
    <row r="41" spans="1:5" x14ac:dyDescent="0.25">
      <c r="B41" t="s">
        <v>66</v>
      </c>
    </row>
    <row r="43" spans="1:5" x14ac:dyDescent="0.25">
      <c r="A43" t="s">
        <v>69</v>
      </c>
    </row>
    <row r="44" spans="1:5" x14ac:dyDescent="0.25">
      <c r="B44" t="s">
        <v>70</v>
      </c>
      <c r="C44" t="s">
        <v>67</v>
      </c>
      <c r="D44" t="s">
        <v>68</v>
      </c>
      <c r="E44">
        <v>852872</v>
      </c>
    </row>
    <row r="45" spans="1:5" x14ac:dyDescent="0.25">
      <c r="B45" t="s">
        <v>71</v>
      </c>
    </row>
    <row r="46" spans="1:5" x14ac:dyDescent="0.25">
      <c r="B46" t="s">
        <v>72</v>
      </c>
    </row>
    <row r="47" spans="1:5" x14ac:dyDescent="0.25">
      <c r="B47" t="s">
        <v>73</v>
      </c>
    </row>
    <row r="48" spans="1:5" x14ac:dyDescent="0.25">
      <c r="B48" t="s">
        <v>74</v>
      </c>
    </row>
    <row r="50" spans="1:3" x14ac:dyDescent="0.25">
      <c r="A50" t="s">
        <v>90</v>
      </c>
      <c r="B50" t="s">
        <v>86</v>
      </c>
    </row>
    <row r="51" spans="1:3" x14ac:dyDescent="0.25">
      <c r="B51" t="s">
        <v>87</v>
      </c>
    </row>
    <row r="52" spans="1:3" x14ac:dyDescent="0.25">
      <c r="B52" t="s">
        <v>88</v>
      </c>
    </row>
    <row r="54" spans="1:3" x14ac:dyDescent="0.25">
      <c r="A54" t="s">
        <v>82</v>
      </c>
      <c r="C54" t="s">
        <v>89</v>
      </c>
    </row>
    <row r="55" spans="1:3" x14ac:dyDescent="0.25">
      <c r="A55" t="s">
        <v>91</v>
      </c>
      <c r="B55" t="s">
        <v>30</v>
      </c>
    </row>
    <row r="56" spans="1:3" x14ac:dyDescent="0.25">
      <c r="C56" t="s">
        <v>31</v>
      </c>
    </row>
    <row r="57" spans="1:3" x14ac:dyDescent="0.25">
      <c r="C57" t="s">
        <v>32</v>
      </c>
    </row>
    <row r="58" spans="1:3" x14ac:dyDescent="0.25">
      <c r="C58" t="s">
        <v>33</v>
      </c>
    </row>
    <row r="59" spans="1:3" x14ac:dyDescent="0.25">
      <c r="B59" t="s">
        <v>36</v>
      </c>
    </row>
    <row r="60" spans="1:3" x14ac:dyDescent="0.25">
      <c r="C60" t="s">
        <v>34</v>
      </c>
    </row>
    <row r="61" spans="1:3" x14ac:dyDescent="0.25">
      <c r="C61" t="s">
        <v>35</v>
      </c>
    </row>
    <row r="62" spans="1:3" x14ac:dyDescent="0.25">
      <c r="C62" t="s">
        <v>83</v>
      </c>
    </row>
    <row r="64" spans="1:3" x14ac:dyDescent="0.25">
      <c r="A64" t="s">
        <v>92</v>
      </c>
    </row>
    <row r="66" spans="1:5" x14ac:dyDescent="0.25">
      <c r="C66" t="s">
        <v>93</v>
      </c>
    </row>
    <row r="67" spans="1:5" x14ac:dyDescent="0.25">
      <c r="C67" t="s">
        <v>94</v>
      </c>
    </row>
    <row r="68" spans="1:5" x14ac:dyDescent="0.25">
      <c r="C68" t="s">
        <v>95</v>
      </c>
    </row>
    <row r="69" spans="1:5" x14ac:dyDescent="0.25">
      <c r="C69" t="s">
        <v>96</v>
      </c>
    </row>
    <row r="70" spans="1:5" x14ac:dyDescent="0.25">
      <c r="C70" t="s">
        <v>104</v>
      </c>
    </row>
    <row r="72" spans="1:5" x14ac:dyDescent="0.25">
      <c r="A72" t="s">
        <v>3</v>
      </c>
    </row>
    <row r="73" spans="1:5" x14ac:dyDescent="0.25">
      <c r="C73" t="s">
        <v>97</v>
      </c>
      <c r="D73" t="s">
        <v>106</v>
      </c>
      <c r="E73" t="s">
        <v>107</v>
      </c>
    </row>
    <row r="74" spans="1:5" x14ac:dyDescent="0.25">
      <c r="C74" t="s">
        <v>98</v>
      </c>
      <c r="D74" t="s">
        <v>108</v>
      </c>
      <c r="E74" t="s">
        <v>107</v>
      </c>
    </row>
    <row r="75" spans="1:5" x14ac:dyDescent="0.25">
      <c r="C75" t="s">
        <v>109</v>
      </c>
      <c r="D75" t="s">
        <v>106</v>
      </c>
      <c r="E75" t="s">
        <v>110</v>
      </c>
    </row>
    <row r="78" spans="1:5" x14ac:dyDescent="0.25">
      <c r="C78" t="s">
        <v>100</v>
      </c>
      <c r="D78" t="s">
        <v>111</v>
      </c>
    </row>
    <row r="79" spans="1:5" x14ac:dyDescent="0.25">
      <c r="C79" t="s">
        <v>101</v>
      </c>
      <c r="D79" t="s">
        <v>111</v>
      </c>
    </row>
    <row r="80" spans="1:5" x14ac:dyDescent="0.25">
      <c r="C80" t="s">
        <v>102</v>
      </c>
      <c r="D80" t="s">
        <v>111</v>
      </c>
    </row>
    <row r="82" spans="1:5" x14ac:dyDescent="0.25">
      <c r="A82" t="s">
        <v>105</v>
      </c>
    </row>
    <row r="83" spans="1:5" x14ac:dyDescent="0.25">
      <c r="C83" t="s">
        <v>99</v>
      </c>
      <c r="D83" t="s">
        <v>106</v>
      </c>
      <c r="E83" t="s">
        <v>107</v>
      </c>
    </row>
    <row r="84" spans="1:5" x14ac:dyDescent="0.25">
      <c r="C84" t="s">
        <v>103</v>
      </c>
      <c r="D84" t="s">
        <v>108</v>
      </c>
      <c r="E84" t="s">
        <v>107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opLeftCell="A17" workbookViewId="0">
      <selection activeCell="A24" sqref="A24"/>
    </sheetView>
  </sheetViews>
  <sheetFormatPr defaultRowHeight="15" x14ac:dyDescent="0.25"/>
  <cols>
    <col min="2" max="2" width="8.5703125" bestFit="1" customWidth="1"/>
    <col min="3" max="3" width="7.5703125" bestFit="1" customWidth="1"/>
    <col min="4" max="4" width="11" bestFit="1" customWidth="1"/>
    <col min="5" max="5" width="13" bestFit="1" customWidth="1"/>
    <col min="6" max="6" width="11" bestFit="1" customWidth="1"/>
  </cols>
  <sheetData>
    <row r="1" spans="1:6" ht="36" x14ac:dyDescent="0.25">
      <c r="A1" s="3" t="s">
        <v>112</v>
      </c>
      <c r="B1" s="4" t="s">
        <v>113</v>
      </c>
      <c r="C1" s="4" t="s">
        <v>114</v>
      </c>
      <c r="D1" s="4" t="s">
        <v>115</v>
      </c>
      <c r="E1" s="3" t="s">
        <v>116</v>
      </c>
      <c r="F1" s="4" t="s">
        <v>117</v>
      </c>
    </row>
    <row r="2" spans="1:6" x14ac:dyDescent="0.25">
      <c r="A2" s="5" t="s">
        <v>98</v>
      </c>
      <c r="B2" s="6" t="s">
        <v>118</v>
      </c>
      <c r="C2" s="7">
        <v>4557</v>
      </c>
      <c r="D2" s="8">
        <v>100</v>
      </c>
      <c r="E2" s="9"/>
      <c r="F2" s="10">
        <v>1111300</v>
      </c>
    </row>
    <row r="3" spans="1:6" x14ac:dyDescent="0.25">
      <c r="A3" s="11"/>
      <c r="B3" s="12" t="s">
        <v>119</v>
      </c>
      <c r="C3" s="12" t="s">
        <v>119</v>
      </c>
      <c r="D3" s="13">
        <v>100</v>
      </c>
      <c r="E3" s="14">
        <v>11113</v>
      </c>
      <c r="F3" s="15">
        <v>1111300</v>
      </c>
    </row>
    <row r="4" spans="1:6" x14ac:dyDescent="0.25">
      <c r="A4" s="16" t="s">
        <v>97</v>
      </c>
      <c r="B4" s="12" t="s">
        <v>118</v>
      </c>
      <c r="C4" s="17">
        <v>3523</v>
      </c>
      <c r="D4" s="18">
        <v>200</v>
      </c>
      <c r="E4" s="19"/>
      <c r="F4" s="20">
        <v>271300</v>
      </c>
    </row>
    <row r="5" spans="1:6" x14ac:dyDescent="0.25">
      <c r="A5" s="11"/>
      <c r="B5" s="12" t="s">
        <v>119</v>
      </c>
      <c r="C5" s="12" t="s">
        <v>119</v>
      </c>
      <c r="D5" s="13">
        <v>200</v>
      </c>
      <c r="E5" s="14">
        <v>1356.5</v>
      </c>
      <c r="F5" s="15">
        <v>271300</v>
      </c>
    </row>
    <row r="6" spans="1:6" x14ac:dyDescent="0.25">
      <c r="A6" s="5" t="s">
        <v>98</v>
      </c>
      <c r="B6" s="12" t="s">
        <v>118</v>
      </c>
      <c r="C6" s="17">
        <v>4663</v>
      </c>
      <c r="D6" s="18">
        <v>100</v>
      </c>
      <c r="E6" s="19"/>
      <c r="F6" s="20">
        <v>1111300</v>
      </c>
    </row>
    <row r="7" spans="1:6" x14ac:dyDescent="0.25">
      <c r="A7" s="11"/>
      <c r="B7" s="12" t="s">
        <v>119</v>
      </c>
      <c r="C7" s="12" t="s">
        <v>119</v>
      </c>
      <c r="D7" s="13">
        <v>100</v>
      </c>
      <c r="E7" s="14">
        <v>11113</v>
      </c>
      <c r="F7" s="15">
        <v>1111300</v>
      </c>
    </row>
    <row r="8" spans="1:6" x14ac:dyDescent="0.25">
      <c r="A8" s="5" t="s">
        <v>98</v>
      </c>
      <c r="B8" s="12" t="s">
        <v>118</v>
      </c>
      <c r="C8" s="17">
        <v>4725</v>
      </c>
      <c r="D8" s="18">
        <v>50</v>
      </c>
      <c r="E8" s="19"/>
      <c r="F8" s="20">
        <v>836700</v>
      </c>
    </row>
    <row r="9" spans="1:6" x14ac:dyDescent="0.25">
      <c r="A9" s="11"/>
      <c r="B9" s="12" t="s">
        <v>119</v>
      </c>
      <c r="C9" s="12" t="s">
        <v>119</v>
      </c>
      <c r="D9" s="13">
        <v>50</v>
      </c>
      <c r="E9" s="14">
        <v>16734</v>
      </c>
      <c r="F9" s="15">
        <v>836700</v>
      </c>
    </row>
    <row r="10" spans="1:6" x14ac:dyDescent="0.25">
      <c r="A10" s="16" t="s">
        <v>97</v>
      </c>
      <c r="B10" s="12" t="s">
        <v>118</v>
      </c>
      <c r="C10" s="17">
        <v>3577</v>
      </c>
      <c r="D10" s="18">
        <v>50</v>
      </c>
      <c r="E10" s="19"/>
      <c r="F10" s="20">
        <v>75325</v>
      </c>
    </row>
    <row r="11" spans="1:6" x14ac:dyDescent="0.25">
      <c r="A11" s="11"/>
      <c r="B11" s="12" t="s">
        <v>119</v>
      </c>
      <c r="C11" s="12" t="s">
        <v>119</v>
      </c>
      <c r="D11" s="13">
        <v>50</v>
      </c>
      <c r="E11" s="14">
        <v>1506.5</v>
      </c>
      <c r="F11" s="15">
        <v>75325</v>
      </c>
    </row>
    <row r="12" spans="1:6" x14ac:dyDescent="0.25">
      <c r="A12" s="5" t="s">
        <v>98</v>
      </c>
      <c r="B12" s="12" t="s">
        <v>118</v>
      </c>
      <c r="C12" s="17">
        <v>4740</v>
      </c>
      <c r="D12" s="18">
        <v>100</v>
      </c>
      <c r="E12" s="19"/>
      <c r="F12" s="20">
        <v>1111300</v>
      </c>
    </row>
    <row r="13" spans="1:6" x14ac:dyDescent="0.25">
      <c r="A13" s="11"/>
      <c r="B13" s="12" t="s">
        <v>119</v>
      </c>
      <c r="C13" s="12" t="s">
        <v>119</v>
      </c>
      <c r="D13" s="13">
        <v>100</v>
      </c>
      <c r="E13" s="14">
        <v>11113</v>
      </c>
      <c r="F13" s="15">
        <v>1111300</v>
      </c>
    </row>
    <row r="14" spans="1:6" x14ac:dyDescent="0.25">
      <c r="A14" s="21" t="s">
        <v>120</v>
      </c>
      <c r="B14" s="22" t="s">
        <v>119</v>
      </c>
      <c r="C14" s="22" t="s">
        <v>119</v>
      </c>
      <c r="D14" s="23">
        <v>600</v>
      </c>
      <c r="E14" s="24"/>
      <c r="F14" s="25">
        <v>4517225</v>
      </c>
    </row>
    <row r="19" spans="1:3" x14ac:dyDescent="0.25">
      <c r="A19">
        <v>52</v>
      </c>
      <c r="B19">
        <v>2</v>
      </c>
      <c r="C19">
        <f>SUM(A19:B19)</f>
        <v>54</v>
      </c>
    </row>
    <row r="20" spans="1:3" x14ac:dyDescent="0.25">
      <c r="A20">
        <v>25</v>
      </c>
      <c r="B20">
        <v>56</v>
      </c>
      <c r="C20">
        <f t="shared" ref="C20:C23" si="0">SUM(A20:B20)</f>
        <v>81</v>
      </c>
    </row>
    <row r="21" spans="1:3" x14ac:dyDescent="0.25">
      <c r="A21">
        <v>60</v>
      </c>
      <c r="B21">
        <v>1</v>
      </c>
      <c r="C21">
        <f t="shared" si="0"/>
        <v>61</v>
      </c>
    </row>
    <row r="22" spans="1:3" x14ac:dyDescent="0.25">
      <c r="A22">
        <v>8</v>
      </c>
      <c r="B22">
        <v>3</v>
      </c>
      <c r="C22">
        <f t="shared" si="0"/>
        <v>11</v>
      </c>
    </row>
    <row r="23" spans="1:3" x14ac:dyDescent="0.25">
      <c r="A23">
        <v>2</v>
      </c>
      <c r="B23">
        <v>0</v>
      </c>
      <c r="C23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2019-06-21T02:44:18Z</dcterms:created>
  <dcterms:modified xsi:type="dcterms:W3CDTF">2023-03-29T08:25:26Z</dcterms:modified>
</cp:coreProperties>
</file>